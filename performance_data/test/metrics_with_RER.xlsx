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Wes/Desktop/SPMe+/performance_data/test/"/>
    </mc:Choice>
  </mc:AlternateContent>
  <xr:revisionPtr revIDLastSave="0" documentId="8_{9F9F3985-582C-2543-8259-7BFC65AFAB41}" xr6:coauthVersionLast="47" xr6:coauthVersionMax="47" xr10:uidLastSave="{00000000-0000-0000-0000-000000000000}"/>
  <bookViews>
    <workbookView xWindow="0" yWindow="500" windowWidth="38400" windowHeight="199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G18" i="1"/>
  <c r="H18" i="1"/>
  <c r="F19" i="1"/>
  <c r="G19" i="1"/>
  <c r="H19" i="1"/>
  <c r="F20" i="1"/>
  <c r="G20" i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E19" i="1"/>
  <c r="E20" i="1"/>
  <c r="E21" i="1"/>
  <c r="E22" i="1"/>
  <c r="E23" i="1"/>
  <c r="E24" i="1"/>
  <c r="E18" i="1"/>
  <c r="F10" i="1"/>
  <c r="G10" i="1"/>
  <c r="H10" i="1"/>
  <c r="F11" i="1"/>
  <c r="G11" i="1"/>
  <c r="H11" i="1"/>
  <c r="F12" i="1"/>
  <c r="G12" i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E11" i="1"/>
  <c r="E12" i="1"/>
  <c r="E13" i="1"/>
  <c r="E14" i="1"/>
  <c r="E15" i="1"/>
  <c r="E16" i="1"/>
  <c r="E10" i="1"/>
</calcChain>
</file>

<file path=xl/sharedStrings.xml><?xml version="1.0" encoding="utf-8"?>
<sst xmlns="http://schemas.openxmlformats.org/spreadsheetml/2006/main" count="21" uniqueCount="17">
  <si>
    <t>series</t>
  </si>
  <si>
    <t>spec</t>
  </si>
  <si>
    <t>rmse_vcell_spme</t>
  </si>
  <si>
    <t>rmse_vcell_spme_plus_bb</t>
  </si>
  <si>
    <t>rmse_vcell_spme_plus_cb</t>
  </si>
  <si>
    <t>rmse_vcell_spme_plus_cc</t>
  </si>
  <si>
    <t>rmse_vcell_spme_plus_bc</t>
  </si>
  <si>
    <t>cc</t>
  </si>
  <si>
    <t>-1.8C</t>
  </si>
  <si>
    <t>-0.5C</t>
  </si>
  <si>
    <t>0.5C</t>
  </si>
  <si>
    <t>1.8C</t>
  </si>
  <si>
    <t>gitt</t>
  </si>
  <si>
    <t>7m-14m--1.5C</t>
  </si>
  <si>
    <t>7m-14m-1.5C</t>
  </si>
  <si>
    <t>drive</t>
  </si>
  <si>
    <t>US06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</si>
</sst>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H32" sqref="H32"/>
    </sheetView>
  </sheetViews>
  <sheetFormatPr baseColWidth="10" defaultColWidth="8.83203125" defaultRowHeight="15" x14ac:dyDescent="0.2"/>
  <cols>
    <col min="4" max="4" width="24.6640625" customWidth="1"/>
    <col min="5" max="5" width="27" customWidth="1"/>
    <col min="6" max="6" width="26.5" customWidth="1"/>
    <col min="7" max="7" width="24" customWidth="1"/>
    <col min="8" max="8" width="29" customWidth="1"/>
  </cols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>
        <v>0</v>
      </c>
      <c r="B2" t="s">
        <v>7</v>
      </c>
      <c r="C2" t="s">
        <v>8</v>
      </c>
      <c r="D2" s="2">
        <v>19.04687556779734</v>
      </c>
      <c r="E2" s="2">
        <v>3.9951931481505869</v>
      </c>
      <c r="F2" s="2">
        <v>4.138601976018851</v>
      </c>
      <c r="G2" s="2">
        <v>2.135919650240949</v>
      </c>
      <c r="H2" s="2">
        <v>4.9727307069393376</v>
      </c>
    </row>
    <row r="3" spans="1:8" x14ac:dyDescent="0.2">
      <c r="A3" s="1">
        <v>1</v>
      </c>
      <c r="B3" t="s">
        <v>7</v>
      </c>
      <c r="C3" t="s">
        <v>9</v>
      </c>
      <c r="D3" s="2">
        <v>5.1139707803432586</v>
      </c>
      <c r="E3" s="2">
        <v>0.67362436006784976</v>
      </c>
      <c r="F3" s="2">
        <v>0.55674199846061345</v>
      </c>
      <c r="G3" s="2">
        <v>0.51007084018452387</v>
      </c>
      <c r="H3" s="2">
        <v>0.83701176018362911</v>
      </c>
    </row>
    <row r="4" spans="1:8" x14ac:dyDescent="0.2">
      <c r="A4" s="1">
        <v>2</v>
      </c>
      <c r="B4" t="s">
        <v>7</v>
      </c>
      <c r="C4" t="s">
        <v>10</v>
      </c>
      <c r="D4" s="2">
        <v>4.8993440010937679</v>
      </c>
      <c r="E4" s="2">
        <v>1.0389795769749921</v>
      </c>
      <c r="F4" s="2">
        <v>0.52426859684197047</v>
      </c>
      <c r="G4" s="2">
        <v>0.5544638352141662</v>
      </c>
      <c r="H4" s="2">
        <v>1.6899593516663209</v>
      </c>
    </row>
    <row r="5" spans="1:8" x14ac:dyDescent="0.2">
      <c r="A5" s="1">
        <v>3</v>
      </c>
      <c r="B5" t="s">
        <v>7</v>
      </c>
      <c r="C5" t="s">
        <v>11</v>
      </c>
      <c r="D5" s="2">
        <v>17.570974446788931</v>
      </c>
      <c r="E5" s="2">
        <v>13.43391381075187</v>
      </c>
      <c r="F5" s="2">
        <v>4.9455277912961426</v>
      </c>
      <c r="G5" s="2">
        <v>6.1970500867852669</v>
      </c>
      <c r="H5" s="2">
        <v>22.83631848573129</v>
      </c>
    </row>
    <row r="6" spans="1:8" x14ac:dyDescent="0.2">
      <c r="A6" s="1">
        <v>4</v>
      </c>
      <c r="B6" t="s">
        <v>12</v>
      </c>
      <c r="C6" t="s">
        <v>13</v>
      </c>
      <c r="D6" s="2">
        <v>10.555710783372399</v>
      </c>
      <c r="E6" s="2">
        <v>2.284571994658712</v>
      </c>
      <c r="F6" s="2">
        <v>1.947205323854782</v>
      </c>
      <c r="G6" s="2">
        <v>1.689836623265633</v>
      </c>
      <c r="H6" s="2">
        <v>2.642018458263792</v>
      </c>
    </row>
    <row r="7" spans="1:8" x14ac:dyDescent="0.2">
      <c r="A7" s="1">
        <v>5</v>
      </c>
      <c r="B7" t="s">
        <v>12</v>
      </c>
      <c r="C7" t="s">
        <v>14</v>
      </c>
      <c r="D7" s="2">
        <v>9.8492331462668066</v>
      </c>
      <c r="E7" s="2">
        <v>3.1730608732251611</v>
      </c>
      <c r="F7" s="2">
        <v>1.8973357633641059</v>
      </c>
      <c r="G7" s="2">
        <v>1.9644501906871781</v>
      </c>
      <c r="H7" s="2">
        <v>4.6198102911984664</v>
      </c>
    </row>
    <row r="8" spans="1:8" x14ac:dyDescent="0.2">
      <c r="A8" s="1">
        <v>6</v>
      </c>
      <c r="B8" t="s">
        <v>15</v>
      </c>
      <c r="C8" t="s">
        <v>16</v>
      </c>
      <c r="D8" s="2">
        <v>14.714225919064351</v>
      </c>
      <c r="E8" s="2">
        <v>5.0725784301454082</v>
      </c>
      <c r="F8" s="2">
        <v>4.3593380529118626</v>
      </c>
      <c r="G8" s="2">
        <v>4.0734034657713742</v>
      </c>
      <c r="H8" s="2">
        <v>7.5676356005121894</v>
      </c>
    </row>
    <row r="10" spans="1:8" x14ac:dyDescent="0.2">
      <c r="E10" s="3">
        <f>100*($D2-E2)/$D2</f>
        <v>79.024417238776508</v>
      </c>
      <c r="F10" s="3">
        <f t="shared" ref="F10:H10" si="0">100*($D2-F2)/$D2</f>
        <v>78.271491503750838</v>
      </c>
      <c r="G10" s="3">
        <f t="shared" si="0"/>
        <v>88.785984123022459</v>
      </c>
      <c r="H10" s="3">
        <f t="shared" si="0"/>
        <v>73.892144728730415</v>
      </c>
    </row>
    <row r="11" spans="1:8" x14ac:dyDescent="0.2">
      <c r="E11" s="3">
        <f t="shared" ref="E11:H16" si="1">100*($D3-E3)/$D3</f>
        <v>86.827762828503396</v>
      </c>
      <c r="F11" s="3">
        <f t="shared" si="1"/>
        <v>89.113312876159142</v>
      </c>
      <c r="G11" s="3">
        <f t="shared" si="1"/>
        <v>90.025933621969457</v>
      </c>
      <c r="H11" s="3">
        <f t="shared" si="1"/>
        <v>83.632840386947862</v>
      </c>
    </row>
    <row r="12" spans="1:8" x14ac:dyDescent="0.2">
      <c r="E12" s="3">
        <f t="shared" si="1"/>
        <v>78.793496093700668</v>
      </c>
      <c r="F12" s="3">
        <f t="shared" si="1"/>
        <v>89.29920828737626</v>
      </c>
      <c r="G12" s="3">
        <f t="shared" si="1"/>
        <v>88.6828964226561</v>
      </c>
      <c r="H12" s="3">
        <f t="shared" si="1"/>
        <v>65.506415730574517</v>
      </c>
    </row>
    <row r="13" spans="1:8" x14ac:dyDescent="0.2">
      <c r="E13" s="3">
        <f t="shared" si="1"/>
        <v>23.544856026997994</v>
      </c>
      <c r="F13" s="3">
        <f t="shared" si="1"/>
        <v>71.853992467674829</v>
      </c>
      <c r="G13" s="3">
        <f t="shared" si="1"/>
        <v>64.731323777448395</v>
      </c>
      <c r="H13" s="3">
        <f t="shared" si="1"/>
        <v>-29.966147039184804</v>
      </c>
    </row>
    <row r="14" spans="1:8" x14ac:dyDescent="0.2">
      <c r="E14" s="3">
        <f t="shared" si="1"/>
        <v>78.35700464380453</v>
      </c>
      <c r="F14" s="3">
        <f t="shared" si="1"/>
        <v>81.553062945585197</v>
      </c>
      <c r="G14" s="3">
        <f t="shared" si="1"/>
        <v>83.991256885064502</v>
      </c>
      <c r="H14" s="3">
        <f t="shared" si="1"/>
        <v>74.970719523449233</v>
      </c>
    </row>
    <row r="15" spans="1:8" x14ac:dyDescent="0.2">
      <c r="E15" s="3">
        <f t="shared" si="1"/>
        <v>67.783675885184437</v>
      </c>
      <c r="F15" s="3">
        <f t="shared" si="1"/>
        <v>80.736208238879385</v>
      </c>
      <c r="G15" s="3">
        <f t="shared" si="1"/>
        <v>80.054790443946686</v>
      </c>
      <c r="H15" s="3">
        <f t="shared" si="1"/>
        <v>53.094720953483247</v>
      </c>
    </row>
    <row r="16" spans="1:8" x14ac:dyDescent="0.2">
      <c r="E16" s="3">
        <f t="shared" si="1"/>
        <v>65.526025915008077</v>
      </c>
      <c r="F16" s="3">
        <f t="shared" si="1"/>
        <v>70.373310312819598</v>
      </c>
      <c r="G16" s="3">
        <f t="shared" si="1"/>
        <v>72.316562976692467</v>
      </c>
      <c r="H16" s="3">
        <f t="shared" si="1"/>
        <v>48.569257790807377</v>
      </c>
    </row>
    <row r="18" spans="5:8" x14ac:dyDescent="0.2">
      <c r="E18" s="3" t="str">
        <f>_xlfn.CONCAT(TEXT(E2,"0.0"),"/",TEXT(E10,"0"))</f>
        <v>4.0/79</v>
      </c>
      <c r="F18" s="3" t="str">
        <f t="shared" ref="F18:H18" si="2">_xlfn.CONCAT(TEXT(F2,"0.0"),"/",TEXT(F10,"0"))</f>
        <v>4.1/78</v>
      </c>
      <c r="G18" s="3" t="str">
        <f t="shared" si="2"/>
        <v>2.1/89</v>
      </c>
      <c r="H18" s="3" t="str">
        <f t="shared" si="2"/>
        <v>5.0/74</v>
      </c>
    </row>
    <row r="19" spans="5:8" x14ac:dyDescent="0.2">
      <c r="E19" s="3" t="str">
        <f t="shared" ref="E19:H26" si="3">_xlfn.CONCAT(TEXT(E3,"0.0"),"/",TEXT(E11,"0"))</f>
        <v>0.7/87</v>
      </c>
      <c r="F19" s="3" t="str">
        <f t="shared" si="3"/>
        <v>0.6/89</v>
      </c>
      <c r="G19" s="3" t="str">
        <f t="shared" si="3"/>
        <v>0.5/90</v>
      </c>
      <c r="H19" s="3" t="str">
        <f t="shared" si="3"/>
        <v>0.8/84</v>
      </c>
    </row>
    <row r="20" spans="5:8" x14ac:dyDescent="0.2">
      <c r="E20" s="3" t="str">
        <f t="shared" si="3"/>
        <v>1.0/79</v>
      </c>
      <c r="F20" s="3" t="str">
        <f t="shared" si="3"/>
        <v>0.5/89</v>
      </c>
      <c r="G20" s="3" t="str">
        <f t="shared" si="3"/>
        <v>0.6/89</v>
      </c>
      <c r="H20" s="3" t="str">
        <f t="shared" si="3"/>
        <v>1.7/66</v>
      </c>
    </row>
    <row r="21" spans="5:8" x14ac:dyDescent="0.2">
      <c r="E21" s="3" t="str">
        <f t="shared" si="3"/>
        <v>13.4/24</v>
      </c>
      <c r="F21" s="3" t="str">
        <f t="shared" si="3"/>
        <v>4.9/72</v>
      </c>
      <c r="G21" s="3" t="str">
        <f t="shared" si="3"/>
        <v>6.2/65</v>
      </c>
      <c r="H21" s="3" t="str">
        <f t="shared" si="3"/>
        <v>22.8/-30</v>
      </c>
    </row>
    <row r="22" spans="5:8" x14ac:dyDescent="0.2">
      <c r="E22" s="3" t="str">
        <f t="shared" si="3"/>
        <v>2.3/78</v>
      </c>
      <c r="F22" s="3" t="str">
        <f t="shared" si="3"/>
        <v>1.9/82</v>
      </c>
      <c r="G22" s="3" t="str">
        <f t="shared" si="3"/>
        <v>1.7/84</v>
      </c>
      <c r="H22" s="3" t="str">
        <f t="shared" si="3"/>
        <v>2.6/75</v>
      </c>
    </row>
    <row r="23" spans="5:8" x14ac:dyDescent="0.2">
      <c r="E23" s="3" t="str">
        <f t="shared" si="3"/>
        <v>3.2/68</v>
      </c>
      <c r="F23" s="3" t="str">
        <f t="shared" si="3"/>
        <v>1.9/81</v>
      </c>
      <c r="G23" s="3" t="str">
        <f t="shared" si="3"/>
        <v>2.0/80</v>
      </c>
      <c r="H23" s="3" t="str">
        <f t="shared" si="3"/>
        <v>4.6/53</v>
      </c>
    </row>
    <row r="24" spans="5:8" x14ac:dyDescent="0.2">
      <c r="E24" s="3" t="str">
        <f t="shared" si="3"/>
        <v>5.1/66</v>
      </c>
      <c r="F24" s="3" t="str">
        <f t="shared" si="3"/>
        <v>4.4/70</v>
      </c>
      <c r="G24" s="3" t="str">
        <f t="shared" si="3"/>
        <v>4.1/72</v>
      </c>
      <c r="H24" s="3" t="str">
        <f t="shared" si="3"/>
        <v>7.6/49</v>
      </c>
    </row>
    <row r="25" spans="5:8" x14ac:dyDescent="0.2">
      <c r="E25" s="3"/>
    </row>
    <row r="26" spans="5:8" x14ac:dyDescent="0.2">
      <c r="E2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Wesley Hileman</cp:lastModifiedBy>
  <dcterms:created xsi:type="dcterms:W3CDTF">2026-03-19T21:35:36Z</dcterms:created>
  <dcterms:modified xsi:type="dcterms:W3CDTF">2026-03-19T21:41:38Z</dcterms:modified>
</cp:coreProperties>
</file>