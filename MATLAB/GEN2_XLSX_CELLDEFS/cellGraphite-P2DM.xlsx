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es/Desktop/SPMe+/MATLAB/GEN2_XLSX_CELLDEFS/"/>
    </mc:Choice>
  </mc:AlternateContent>
  <xr:revisionPtr revIDLastSave="0" documentId="13_ncr:1_{353AADB8-1579-B54E-9B87-EA0094DCE38F}" xr6:coauthVersionLast="47" xr6:coauthVersionMax="47" xr10:uidLastSave="{00000000-0000-0000-0000-000000000000}"/>
  <bookViews>
    <workbookView xWindow="2160" yWindow="820" windowWidth="21820" windowHeight="18840" tabRatio="629" xr2:uid="{00000000-000D-0000-FFFF-FFFF00000000}"/>
  </bookViews>
  <sheets>
    <sheet name="Parameters" sheetId="16" r:id="rId1"/>
    <sheet name="Instructions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4" i="16" l="1"/>
  <c r="E17" i="16"/>
</calcChain>
</file>

<file path=xl/sharedStrings.xml><?xml version="1.0" encoding="utf-8"?>
<sst xmlns="http://schemas.openxmlformats.org/spreadsheetml/2006/main" count="322" uniqueCount="203">
  <si>
    <t>Code Name</t>
  </si>
  <si>
    <t>Parameter</t>
  </si>
  <si>
    <t>Value</t>
  </si>
  <si>
    <t>Unit</t>
  </si>
  <si>
    <t>name</t>
  </si>
  <si>
    <t>Cell Information</t>
  </si>
  <si>
    <t>V</t>
  </si>
  <si>
    <r>
      <t xml:space="preserve">See </t>
    </r>
    <r>
      <rPr>
        <i/>
        <sz val="12"/>
        <color rgb="FF000000"/>
        <rFont val="Calibri"/>
        <family val="2"/>
        <scheme val="minor"/>
      </rPr>
      <t>Instructions</t>
    </r>
    <r>
      <rPr>
        <sz val="12"/>
        <color rgb="FF000000"/>
        <rFont val="Calibri"/>
        <family val="2"/>
        <scheme val="minor"/>
      </rPr>
      <t xml:space="preserve"> tab for more information</t>
    </r>
  </si>
  <si>
    <t>Cell Parameters</t>
  </si>
  <si>
    <t>Negative Electrode Parameters</t>
  </si>
  <si>
    <t>Positive Electrode Parameters</t>
  </si>
  <si>
    <t>Double-layer capacitance</t>
  </si>
  <si>
    <t>Double-layer resistance</t>
  </si>
  <si>
    <t>Double-layer CPE factor</t>
  </si>
  <si>
    <t>unitless</t>
  </si>
  <si>
    <t>Solid-phase diffusivity CPE factor</t>
  </si>
  <si>
    <t>theta0</t>
  </si>
  <si>
    <t>theta100</t>
  </si>
  <si>
    <t>sigma</t>
  </si>
  <si>
    <t>kappa</t>
  </si>
  <si>
    <t>k0</t>
  </si>
  <si>
    <t>alpha</t>
  </si>
  <si>
    <t>Dsref</t>
  </si>
  <si>
    <t>Rf</t>
  </si>
  <si>
    <t>INSTRUCTIONS FOR USING A CELL-PARAMETER-VALUE SPREADSHEET FOR THE PHYSICS-BASED TOOLBOX</t>
  </si>
  <si>
    <t>This spreadsheet contains all parameter values required to define a pseudo-2d physics-based lithium-ion cell model.</t>
  </si>
  <si>
    <t>The parameters are distributed in different sections: values pertaining to the entire cell are in the "Cell Parameters" section;</t>
  </si>
  <si>
    <t>values pertaining to the negative-electrode only are in the "Negative Electrode Parameters" section; values pertaining</t>
  </si>
  <si>
    <t>to the separator region only are in the "Separator Parameters" section; and values pertaining to the positive-electrode</t>
  </si>
  <si>
    <t>only are in the "Positive Electrode Parameters" section.</t>
  </si>
  <si>
    <t>The toolbox supports entering parameters either in "standard" or "lumped" formats. The "Cell Information" section</t>
  </si>
  <si>
    <t>allows the user to give a unique name to this set of cell parameters, and to indicate whether the following parameter</t>
  </si>
  <si>
    <t>values are for a standard-parameter or lumped-parameter model. Internally, all parameter values are converted to</t>
  </si>
  <si>
    <t>lumped parameters.</t>
  </si>
  <si>
    <t>This description is completely ignored by the toolbox, but it is recommended to use a label that is helpful to understanding</t>
  </si>
  <si>
    <t>the meaning of the parameter defined in that row. The second column is the actual name of that parameter in the</t>
  </si>
  <si>
    <t>code. The toolbox assigns the value to this name in the cellData structure, so this should be entered exactly as desired.</t>
  </si>
  <si>
    <t xml:space="preserve">The parameter value may be entered in one of three ways. </t>
  </si>
  <si>
    <t>1)</t>
  </si>
  <si>
    <t xml:space="preserve">Most of the time it is simply a numeric entry, like 421.3. </t>
  </si>
  <si>
    <t>2)</t>
  </si>
  <si>
    <t>However, some parameters may also be specified as functions of some argument. For example, electrode open-circuit</t>
  </si>
  <si>
    <t>potential is a function of stoichiometry (theta), and can be entered as a text string representing this functional form.</t>
  </si>
  <si>
    <t>An example is: "@(x)  (-0.16+1.32*exp(-3*x)+10*exp(-2000*x))". This specifies a function of variable "x" and its form.</t>
  </si>
  <si>
    <t>The syntax used is identical to that used by MATLAB for defining anonymous functions. If a single input argument is</t>
  </si>
  <si>
    <t>specified, that argument is electrode stoichiometry; if two input arguments are specified, the second argument is</t>
  </si>
  <si>
    <t>absolute temperature (in kelvin).</t>
  </si>
  <si>
    <t>The third way to specify a parameter is via a lookup table (LUT). The LUT is stored in a separate tab in the spreadsheet.</t>
  </si>
  <si>
    <t>The tab is named by the user, for example: "UocpNeg". Then, to specify that the parameter is defined by that LUT,</t>
  </si>
  <si>
    <t>THETA</t>
  </si>
  <si>
    <t>UOCP</t>
  </si>
  <si>
    <t>3)</t>
  </si>
  <si>
    <t>the parameter value should be specified as "#&lt;tab name&gt;". For example, "#UocpNeg". The "#" marker tells the</t>
  </si>
  <si>
    <t>The LUT stored in the user-defined tab has two columns. The first column holds values of the independent variable</t>
  </si>
  <si>
    <t>and the second column holds values of the dependent variable. The first row is ignored if it does not contain numeric</t>
  </si>
  <si>
    <t>values, so can be used by the user to label the LUT. For example:</t>
  </si>
  <si>
    <r>
      <t>Eact [kJ mol</t>
    </r>
    <r>
      <rPr>
        <b/>
        <vertAlign val="superscript"/>
        <sz val="12"/>
        <color theme="1"/>
        <rFont val="Calibri (Body)"/>
      </rPr>
      <t>-1</t>
    </r>
    <r>
      <rPr>
        <b/>
        <sz val="12"/>
        <color theme="1"/>
        <rFont val="Calibri"/>
        <family val="2"/>
        <scheme val="minor"/>
      </rPr>
      <t>]</t>
    </r>
  </si>
  <si>
    <t>Each row of the spreadsheet has five columns. The first column is the human-readable description of the parameter.</t>
  </si>
  <si>
    <t>The third column specifies the value of the parameter, the fourth column specifies the activation energy, and the fifth</t>
  </si>
  <si>
    <t xml:space="preserve">column specifies the units for the parameter. Once again, the toolbox ignores the fifth column (it does not perform unit </t>
  </si>
  <si>
    <t>conversion, for example); it is present in the spreadsheet simply as a reminder regarding the units that the toolbox expects.</t>
  </si>
  <si>
    <t>This should be set to agree with how the code interprets the parameter value.</t>
  </si>
  <si>
    <t xml:space="preserve">toolbox that this is a LUT defined in the tab whose name follows the "#" in the string. </t>
  </si>
  <si>
    <t>A</t>
  </si>
  <si>
    <t>Rdl</t>
  </si>
  <si>
    <t>Cdl</t>
  </si>
  <si>
    <t>nF</t>
  </si>
  <si>
    <t>nDL</t>
  </si>
  <si>
    <t>MSMR equilibrium voltages U0</t>
  </si>
  <si>
    <t>U0</t>
  </si>
  <si>
    <t>MSMR gallery sizes</t>
  </si>
  <si>
    <t>X</t>
  </si>
  <si>
    <t>MSMR reaction type tuning value</t>
  </si>
  <si>
    <t>omega</t>
  </si>
  <si>
    <t>Separator Parameters</t>
  </si>
  <si>
    <t>Dead-Lithium-Layer Parameters</t>
  </si>
  <si>
    <r>
      <t>Eact [kJ mol</t>
    </r>
    <r>
      <rPr>
        <b/>
        <vertAlign val="superscript"/>
        <sz val="12"/>
        <color rgb="FF000000"/>
        <rFont val="Calibri"/>
        <family val="2"/>
        <scheme val="minor"/>
      </rPr>
      <t>-1</t>
    </r>
    <r>
      <rPr>
        <b/>
        <sz val="12"/>
        <color rgb="FF000000"/>
        <rFont val="Calibri"/>
        <family val="2"/>
        <scheme val="minor"/>
      </rPr>
      <t>]</t>
    </r>
  </si>
  <si>
    <t>#neg[Electrode2D]</t>
  </si>
  <si>
    <t>#const[Global]</t>
  </si>
  <si>
    <t>#pos[Electrode3D]</t>
  </si>
  <si>
    <t>#sep[ElectrolyteLayer]</t>
  </si>
  <si>
    <t>#dll[ElectrolyteLayer]</t>
  </si>
  <si>
    <t>Name</t>
  </si>
  <si>
    <t>author</t>
  </si>
  <si>
    <t>Name of model</t>
  </si>
  <si>
    <t>Author of model</t>
  </si>
  <si>
    <t>Latex</t>
  </si>
  <si>
    <t>Eact</t>
  </si>
  <si>
    <t>Description</t>
  </si>
  <si>
    <t>#model[Meta]</t>
  </si>
  <si>
    <t>#end</t>
  </si>
  <si>
    <t>Sectioning</t>
  </si>
  <si>
    <t>Current-collector plate area</t>
  </si>
  <si>
    <t>m^2</t>
  </si>
  <si>
    <t>Initial electrolyte lithium concentration</t>
  </si>
  <si>
    <t>ce0</t>
  </si>
  <si>
    <t>mol/m^3</t>
  </si>
  <si>
    <t>Electrolyte conductivity (bulk, not effective!)</t>
  </si>
  <si>
    <t>1/Ohm/m</t>
  </si>
  <si>
    <t>Electrolyte diffusivity (bulk, not effective!)</t>
  </si>
  <si>
    <t>De</t>
  </si>
  <si>
    <t>m^2/s</t>
  </si>
  <si>
    <t>Transference number of Li w/r/t solvent</t>
  </si>
  <si>
    <t>t0plus</t>
  </si>
  <si>
    <t>Electrolyte thermodynamic factor</t>
  </si>
  <si>
    <t>dlnfdlnc</t>
  </si>
  <si>
    <t>Wesley Hileman &lt;whileman@uccs.edu&gt;</t>
  </si>
  <si>
    <t>Reaction rate coefficient</t>
  </si>
  <si>
    <t>Charge-transfer coefficient</t>
  </si>
  <si>
    <t>Roughness factor</t>
  </si>
  <si>
    <t>gamma</t>
  </si>
  <si>
    <t>SEI film resistance</t>
  </si>
  <si>
    <t>Bruggeman coefficient applying to sigma</t>
  </si>
  <si>
    <t>brugSigma</t>
  </si>
  <si>
    <t>Bruggeman coefficient applying to De &amp; kappa</t>
  </si>
  <si>
    <t>brugDeKappa</t>
  </si>
  <si>
    <t>m/s</t>
  </si>
  <si>
    <t>m^2/m^2</t>
  </si>
  <si>
    <t>Ohm*m^2</t>
  </si>
  <si>
    <t>F/m^2</t>
  </si>
  <si>
    <t>Dead Li layer thickness</t>
  </si>
  <si>
    <t>L</t>
  </si>
  <si>
    <t>Electrolyte-phase volume fraction (porosity)</t>
  </si>
  <si>
    <t>eEps</t>
  </si>
  <si>
    <t>m</t>
  </si>
  <si>
    <t>Separator thickness</t>
  </si>
  <si>
    <t>Electrode thickness</t>
  </si>
  <si>
    <t>Particle radius</t>
  </si>
  <si>
    <t>Rs</t>
  </si>
  <si>
    <t>Solid-phase volume fraction</t>
  </si>
  <si>
    <t>sEps</t>
  </si>
  <si>
    <t>Maximum solid lithium concentration</t>
  </si>
  <si>
    <t>csmax</t>
  </si>
  <si>
    <t>Electrode stoichiometry at 0% cell SOC</t>
  </si>
  <si>
    <t>Electrode stoichiometry at 100% cell SOC</t>
  </si>
  <si>
    <t>Solid-phase conductivity (bulk, not effective!)</t>
  </si>
  <si>
    <t>Solid-phase diffusivity (reference value)</t>
  </si>
  <si>
    <t>Normalized reaction rate coefficient(s)</t>
  </si>
  <si>
    <t>Charge-transfer coefficient(s)</t>
  </si>
  <si>
    <t>A/m^2</t>
  </si>
  <si>
    <t>Tref</t>
  </si>
  <si>
    <t>K</t>
  </si>
  <si>
    <t>Solid Lithium Concentration</t>
  </si>
  <si>
    <t>Reference temperature</t>
  </si>
  <si>
    <t>n/a</t>
  </si>
  <si>
    <t>c_\mathrm{e,0}</t>
  </si>
  <si>
    <t>\kappa</t>
  </si>
  <si>
    <t>D_\mathrm{e}</t>
  </si>
  <si>
    <t>t_{+}^0</t>
  </si>
  <si>
    <t>\frac{\mathrm{d}\ln{f_\pm}}{\mathrm{d}\ln{c_\mathrm{e}}}</t>
  </si>
  <si>
    <t>T_\mathrm{ref}</t>
  </si>
  <si>
    <t>k_0</t>
  </si>
  <si>
    <t>cs0</t>
  </si>
  <si>
    <t>c_\mathrm{s,0}</t>
  </si>
  <si>
    <t>\alpha</t>
  </si>
  <si>
    <t>\gamma</t>
  </si>
  <si>
    <t>R_\mathrm{f}</t>
  </si>
  <si>
    <t>C_\mathrm{dl}</t>
  </si>
  <si>
    <t>n_\mathrm{dl}</t>
  </si>
  <si>
    <t>R_\mathrm{dl}</t>
  </si>
  <si>
    <t>\mathrm{brug}_\mathrm{s}</t>
  </si>
  <si>
    <t>\mathrm{brug}_\mathrm{e}</t>
  </si>
  <si>
    <t>\varepsilon_\mathrm{e}</t>
  </si>
  <si>
    <t>\{U_j^0\}</t>
  </si>
  <si>
    <t>\{X_j\}</t>
  </si>
  <si>
    <t>\{\omega_j\}</t>
  </si>
  <si>
    <t>R_\mathrm{s}</t>
  </si>
  <si>
    <t>\varepsilon_\mathrm{s}</t>
  </si>
  <si>
    <t>c_\mathrm{s,max}</t>
  </si>
  <si>
    <t>\theta_{0}</t>
  </si>
  <si>
    <t>\theta_{100}</t>
  </si>
  <si>
    <t>\sigma</t>
  </si>
  <si>
    <t>D_\mathrm{s,ref}</t>
  </si>
  <si>
    <t>n_\mathrm{f}</t>
  </si>
  <si>
    <t>Solid-phase diffusivity CPE-integrator time const.</t>
  </si>
  <si>
    <t>tauF</t>
  </si>
  <si>
    <t>\tau_\mathrm{f}</t>
  </si>
  <si>
    <t>s</t>
  </si>
  <si>
    <t>Package Parameters</t>
  </si>
  <si>
    <t>Tab resistance</t>
  </si>
  <si>
    <t>R0</t>
  </si>
  <si>
    <t>R_0</t>
  </si>
  <si>
    <t>Ohm</t>
  </si>
  <si>
    <t>Series inductance</t>
  </si>
  <si>
    <t>L0</t>
  </si>
  <si>
    <t>L_0</t>
  </si>
  <si>
    <t>H</t>
  </si>
  <si>
    <t>#pkg[Package]</t>
  </si>
  <si>
    <t>Minimum operating voltage</t>
  </si>
  <si>
    <t>Maximum operating voltage</t>
  </si>
  <si>
    <t>V_\mathrm{min}</t>
  </si>
  <si>
    <t>Vmin</t>
  </si>
  <si>
    <t>Vmax</t>
  </si>
  <si>
    <t>V_\mathrm{max}</t>
  </si>
  <si>
    <t>tauDL</t>
  </si>
  <si>
    <t>\tau_\mathrm{dl}</t>
  </si>
  <si>
    <t>Double-layer CPE-integrator time constant</t>
  </si>
  <si>
    <t>[0.08842        0.128      0.14274      0.18297      0.21446      0.41553       1.1929]</t>
  </si>
  <si>
    <t>[0.40426      0.23951      0.15685       0.0577      0.06728      0.04387      0.03053]</t>
  </si>
  <si>
    <t>[0.08604      0.07969      0.74456       2.6465      0.09376       5.5087       19.917]</t>
  </si>
  <si>
    <t>[0.5, 0.5,0.5,0.5,0.5,0.5,0.5]</t>
  </si>
  <si>
    <t>Graphite Simulation Cell</t>
  </si>
  <si>
    <t>[14,14,14,14,14,14,14]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</si>
</sst>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2"/>
      <color theme="1"/>
      <name val="Calibri (Body)"/>
    </font>
    <font>
      <b/>
      <sz val="12"/>
      <color rgb="FF000000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4" tint="0.7999511703848384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2" borderId="1" xfId="0" applyFill="1" applyBorder="1" applyAlignment="1">
      <alignment horizontal="left"/>
    </xf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1" fillId="4" borderId="5" xfId="0" applyFont="1" applyFill="1" applyBorder="1" applyAlignment="1">
      <alignment horizontal="left"/>
    </xf>
    <xf numFmtId="0" fontId="9" fillId="7" borderId="0" xfId="0" applyFont="1" applyFill="1"/>
    <xf numFmtId="0" fontId="8" fillId="7" borderId="0" xfId="0" applyFont="1" applyFill="1"/>
    <xf numFmtId="0" fontId="8" fillId="7" borderId="0" xfId="0" applyFont="1" applyFill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right"/>
    </xf>
    <xf numFmtId="0" fontId="8" fillId="7" borderId="13" xfId="0" applyFont="1" applyFill="1" applyBorder="1"/>
    <xf numFmtId="0" fontId="5" fillId="7" borderId="0" xfId="0" applyFont="1" applyFill="1"/>
    <xf numFmtId="0" fontId="0" fillId="2" borderId="1" xfId="0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1" xfId="0" quotePrefix="1" applyFill="1" applyBorder="1" applyAlignment="1" applyProtection="1">
      <alignment horizontal="left" vertical="center"/>
      <protection locked="0"/>
    </xf>
    <xf numFmtId="0" fontId="5" fillId="2" borderId="1" xfId="0" quotePrefix="1" applyFont="1" applyFill="1" applyBorder="1" applyAlignment="1" applyProtection="1">
      <alignment horizontal="left" vertical="center"/>
      <protection locked="0"/>
    </xf>
    <xf numFmtId="0" fontId="5" fillId="2" borderId="1" xfId="0" quotePrefix="1" applyFont="1" applyFill="1" applyBorder="1" applyAlignment="1" applyProtection="1">
      <alignment horizontal="left" vertical="center" wrapText="1" shrinkToFit="1"/>
      <protection locked="0"/>
    </xf>
    <xf numFmtId="0" fontId="11" fillId="8" borderId="5" xfId="0" applyFont="1" applyFill="1" applyBorder="1" applyAlignment="1">
      <alignment horizontal="left"/>
    </xf>
    <xf numFmtId="0" fontId="11" fillId="8" borderId="15" xfId="0" applyFont="1" applyFill="1" applyBorder="1" applyAlignment="1">
      <alignment horizontal="left"/>
    </xf>
    <xf numFmtId="0" fontId="11" fillId="8" borderId="15" xfId="0" applyFont="1" applyFill="1" applyBorder="1"/>
    <xf numFmtId="0" fontId="11" fillId="8" borderId="1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5" fillId="9" borderId="15" xfId="0" applyFont="1" applyFill="1" applyBorder="1" applyAlignment="1" applyProtection="1">
      <alignment horizontal="left" vertical="center"/>
      <protection locked="0"/>
    </xf>
    <xf numFmtId="0" fontId="6" fillId="9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1" fontId="5" fillId="2" borderId="1" xfId="0" quotePrefix="1" applyNumberFormat="1" applyFont="1" applyFill="1" applyBorder="1" applyAlignment="1" applyProtection="1">
      <alignment horizontal="left" vertical="center"/>
      <protection locked="0"/>
    </xf>
    <xf numFmtId="0" fontId="13" fillId="6" borderId="1" xfId="0" applyFont="1" applyFill="1" applyBorder="1" applyAlignment="1">
      <alignment horizontal="center" vertical="center"/>
    </xf>
    <xf numFmtId="48" fontId="5" fillId="9" borderId="15" xfId="0" applyNumberFormat="1" applyFont="1" applyFill="1" applyBorder="1" applyAlignment="1" applyProtection="1">
      <alignment horizontal="left" vertical="center"/>
      <protection locked="0"/>
    </xf>
    <xf numFmtId="48" fontId="5" fillId="2" borderId="1" xfId="0" quotePrefix="1" applyNumberFormat="1" applyFont="1" applyFill="1" applyBorder="1" applyAlignment="1" applyProtection="1">
      <alignment horizontal="left" vertical="center"/>
      <protection locked="0"/>
    </xf>
    <xf numFmtId="0" fontId="0" fillId="10" borderId="1" xfId="0" quotePrefix="1" applyFill="1" applyBorder="1" applyAlignment="1" applyProtection="1">
      <alignment horizontal="left" vertical="center"/>
      <protection locked="0"/>
    </xf>
    <xf numFmtId="0" fontId="5" fillId="10" borderId="1" xfId="0" applyFont="1" applyFill="1" applyBorder="1" applyAlignment="1" applyProtection="1">
      <alignment horizontal="left" vertical="center"/>
      <protection locked="0"/>
    </xf>
    <xf numFmtId="11" fontId="5" fillId="2" borderId="1" xfId="0" quotePrefix="1" applyNumberFormat="1" applyFont="1" applyFill="1" applyBorder="1" applyAlignment="1" applyProtection="1">
      <alignment horizontal="left" vertical="center" wrapText="1" shrinkToFit="1"/>
      <protection locked="0"/>
    </xf>
    <xf numFmtId="0" fontId="4" fillId="3" borderId="1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11" fontId="5" fillId="2" borderId="1" xfId="0" applyNumberFormat="1" applyFont="1" applyFill="1" applyBorder="1" applyAlignment="1" applyProtection="1">
      <alignment horizontal="left" vertical="center"/>
      <protection locked="0"/>
    </xf>
  </cellXfs>
  <cellStyles count="4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177800</xdr:colOff>
      <xdr:row>0</xdr:row>
      <xdr:rowOff>50800</xdr:rowOff>
    </xdr:from>
    <xdr:ext cx="3784600" cy="736600"/>
    <xdr:pic>
      <xdr:nvPicPr>
        <xdr:cNvPr id="2" name="Picture 1">
          <a:extLst>
            <a:ext uri="{FF2B5EF4-FFF2-40B4-BE49-F238E27FC236}">
              <a16:creationId xmlns:a16="http://schemas.microsoft.com/office/drawing/2014/main" id="{426F9B3B-9D04-7543-AF02-24B270D9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0800"/>
          <a:ext cx="3784600" cy="736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9"/>
  <sheetViews>
    <sheetView tabSelected="1" topLeftCell="B9" zoomScale="110" zoomScaleNormal="110" workbookViewId="0">
      <selection activeCell="E25" sqref="E25"/>
    </sheetView>
  </sheetViews>
  <sheetFormatPr baseColWidth="10" defaultColWidth="11" defaultRowHeight="16" x14ac:dyDescent="0.2"/>
  <cols>
    <col min="1" max="1" width="9.1640625" hidden="1" customWidth="1"/>
    <col min="2" max="2" width="42.6640625" customWidth="1"/>
    <col min="3" max="3" width="16.1640625" customWidth="1"/>
    <col min="4" max="4" width="20.83203125" customWidth="1"/>
    <col min="5" max="5" width="73.5" customWidth="1"/>
    <col min="6" max="6" width="12.6640625" customWidth="1"/>
    <col min="7" max="7" width="10.33203125" customWidth="1"/>
  </cols>
  <sheetData>
    <row r="1" spans="1:7" ht="35" hidden="1" customHeight="1" thickBot="1" x14ac:dyDescent="0.25">
      <c r="A1" t="s">
        <v>91</v>
      </c>
      <c r="B1" t="s">
        <v>88</v>
      </c>
      <c r="C1" t="s">
        <v>82</v>
      </c>
      <c r="D1" t="s">
        <v>86</v>
      </c>
      <c r="E1" t="s">
        <v>2</v>
      </c>
      <c r="F1" t="s">
        <v>87</v>
      </c>
      <c r="G1" t="s">
        <v>3</v>
      </c>
    </row>
    <row r="2" spans="1:7" ht="36" hidden="1" customHeight="1" x14ac:dyDescent="0.2">
      <c r="B2" s="43" t="s">
        <v>7</v>
      </c>
      <c r="C2" s="44"/>
      <c r="D2" s="44"/>
      <c r="E2" s="44"/>
      <c r="F2" s="44"/>
      <c r="G2" s="45"/>
    </row>
    <row r="3" spans="1:7" ht="17" thickBot="1" x14ac:dyDescent="0.25">
      <c r="B3" s="46"/>
      <c r="C3" s="47"/>
      <c r="D3" s="47"/>
      <c r="E3" s="47"/>
      <c r="F3" s="47"/>
      <c r="G3" s="48"/>
    </row>
    <row r="4" spans="1:7" ht="12" customHeight="1" thickBot="1" x14ac:dyDescent="0.25"/>
    <row r="5" spans="1:7" ht="32" customHeight="1" thickBot="1" x14ac:dyDescent="0.35">
      <c r="B5" s="40" t="s">
        <v>5</v>
      </c>
      <c r="C5" s="41"/>
      <c r="D5" s="41"/>
      <c r="E5" s="41"/>
      <c r="F5" s="41"/>
      <c r="G5" s="42"/>
    </row>
    <row r="6" spans="1:7" ht="20" customHeight="1" x14ac:dyDescent="0.2">
      <c r="A6" s="32" t="s">
        <v>89</v>
      </c>
      <c r="B6" s="2" t="s">
        <v>1</v>
      </c>
      <c r="C6" s="2" t="s">
        <v>0</v>
      </c>
      <c r="D6" s="2" t="s">
        <v>86</v>
      </c>
      <c r="E6" s="11" t="s">
        <v>2</v>
      </c>
      <c r="F6" s="2" t="s">
        <v>56</v>
      </c>
      <c r="G6" s="3" t="s">
        <v>3</v>
      </c>
    </row>
    <row r="7" spans="1:7" ht="16" customHeight="1" x14ac:dyDescent="0.2">
      <c r="B7" s="4" t="s">
        <v>84</v>
      </c>
      <c r="C7" s="1" t="s">
        <v>4</v>
      </c>
      <c r="D7" s="1" t="s">
        <v>144</v>
      </c>
      <c r="E7" s="19" t="s">
        <v>201</v>
      </c>
      <c r="F7" s="1" t="s">
        <v>144</v>
      </c>
      <c r="G7" s="1" t="s">
        <v>144</v>
      </c>
    </row>
    <row r="8" spans="1:7" ht="16" customHeight="1" x14ac:dyDescent="0.2">
      <c r="B8" s="10" t="s">
        <v>85</v>
      </c>
      <c r="C8" s="1" t="s">
        <v>83</v>
      </c>
      <c r="D8" s="1" t="s">
        <v>144</v>
      </c>
      <c r="E8" s="19" t="s">
        <v>106</v>
      </c>
      <c r="F8" s="1" t="s">
        <v>144</v>
      </c>
      <c r="G8" s="1" t="s">
        <v>144</v>
      </c>
    </row>
    <row r="9" spans="1:7" ht="20" customHeight="1" thickBot="1" x14ac:dyDescent="0.25">
      <c r="A9" t="s">
        <v>90</v>
      </c>
      <c r="G9" s="20"/>
    </row>
    <row r="10" spans="1:7" ht="32" customHeight="1" thickBot="1" x14ac:dyDescent="0.35">
      <c r="B10" s="40" t="s">
        <v>178</v>
      </c>
      <c r="C10" s="41"/>
      <c r="D10" s="41"/>
      <c r="E10" s="41"/>
      <c r="F10" s="41"/>
      <c r="G10" s="42"/>
    </row>
    <row r="11" spans="1:7" ht="20" customHeight="1" x14ac:dyDescent="0.2">
      <c r="A11" s="32" t="s">
        <v>187</v>
      </c>
      <c r="B11" s="11" t="s">
        <v>1</v>
      </c>
      <c r="C11" s="11" t="s">
        <v>0</v>
      </c>
      <c r="D11" s="11" t="s">
        <v>86</v>
      </c>
      <c r="E11" s="11" t="s">
        <v>2</v>
      </c>
      <c r="F11" s="2" t="s">
        <v>56</v>
      </c>
      <c r="G11" s="3" t="s">
        <v>3</v>
      </c>
    </row>
    <row r="12" spans="1:7" ht="20" customHeight="1" x14ac:dyDescent="0.2">
      <c r="B12" s="5" t="s">
        <v>179</v>
      </c>
      <c r="C12" s="6" t="s">
        <v>180</v>
      </c>
      <c r="D12" s="6" t="s">
        <v>181</v>
      </c>
      <c r="E12" s="23">
        <v>0.1</v>
      </c>
      <c r="F12" s="22">
        <v>0</v>
      </c>
      <c r="G12" s="7" t="s">
        <v>182</v>
      </c>
    </row>
    <row r="13" spans="1:7" ht="20" customHeight="1" x14ac:dyDescent="0.2">
      <c r="B13" s="5" t="s">
        <v>183</v>
      </c>
      <c r="C13" s="6" t="s">
        <v>184</v>
      </c>
      <c r="D13" s="6" t="s">
        <v>185</v>
      </c>
      <c r="E13" s="39">
        <v>1E-8</v>
      </c>
      <c r="F13" s="22">
        <v>0</v>
      </c>
      <c r="G13" s="8" t="s">
        <v>186</v>
      </c>
    </row>
    <row r="14" spans="1:7" ht="20" customHeight="1" thickBot="1" x14ac:dyDescent="0.25">
      <c r="A14" t="s">
        <v>90</v>
      </c>
      <c r="G14" s="20"/>
    </row>
    <row r="15" spans="1:7" ht="32" customHeight="1" thickBot="1" x14ac:dyDescent="0.35">
      <c r="B15" s="40" t="s">
        <v>8</v>
      </c>
      <c r="C15" s="41"/>
      <c r="D15" s="41"/>
      <c r="E15" s="41"/>
      <c r="F15" s="41"/>
      <c r="G15" s="42"/>
    </row>
    <row r="16" spans="1:7" ht="20" customHeight="1" x14ac:dyDescent="0.2">
      <c r="A16" s="32" t="s">
        <v>78</v>
      </c>
      <c r="B16" s="11" t="s">
        <v>1</v>
      </c>
      <c r="C16" s="11" t="s">
        <v>0</v>
      </c>
      <c r="D16" s="11" t="s">
        <v>86</v>
      </c>
      <c r="E16" s="11" t="s">
        <v>2</v>
      </c>
      <c r="F16" s="2" t="s">
        <v>56</v>
      </c>
      <c r="G16" s="3" t="s">
        <v>3</v>
      </c>
    </row>
    <row r="17" spans="1:7" ht="16" customHeight="1" x14ac:dyDescent="0.2">
      <c r="B17" s="5" t="s">
        <v>92</v>
      </c>
      <c r="C17" s="6" t="s">
        <v>63</v>
      </c>
      <c r="D17" s="6" t="s">
        <v>63</v>
      </c>
      <c r="E17" s="23">
        <f>0.0064</f>
        <v>6.4000000000000003E-3</v>
      </c>
      <c r="F17" s="22">
        <v>0</v>
      </c>
      <c r="G17" s="7" t="s">
        <v>93</v>
      </c>
    </row>
    <row r="18" spans="1:7" ht="16" customHeight="1" x14ac:dyDescent="0.2">
      <c r="B18" s="5" t="s">
        <v>94</v>
      </c>
      <c r="C18" s="6" t="s">
        <v>95</v>
      </c>
      <c r="D18" s="6" t="s">
        <v>145</v>
      </c>
      <c r="E18" s="23">
        <v>1000</v>
      </c>
      <c r="F18" s="22">
        <v>0</v>
      </c>
      <c r="G18" s="8" t="s">
        <v>96</v>
      </c>
    </row>
    <row r="19" spans="1:7" ht="16" customHeight="1" x14ac:dyDescent="0.2">
      <c r="B19" s="6" t="s">
        <v>97</v>
      </c>
      <c r="C19" s="6" t="s">
        <v>19</v>
      </c>
      <c r="D19" s="6" t="s">
        <v>146</v>
      </c>
      <c r="E19" s="22">
        <v>0.8</v>
      </c>
      <c r="F19" s="22">
        <v>0</v>
      </c>
      <c r="G19" s="8" t="s">
        <v>98</v>
      </c>
    </row>
    <row r="20" spans="1:7" ht="16" customHeight="1" x14ac:dyDescent="0.2">
      <c r="B20" s="6" t="s">
        <v>99</v>
      </c>
      <c r="C20" s="6" t="s">
        <v>100</v>
      </c>
      <c r="D20" s="6" t="s">
        <v>147</v>
      </c>
      <c r="E20" s="33">
        <v>2.5800000000000002E-9</v>
      </c>
      <c r="F20" s="22">
        <v>0</v>
      </c>
      <c r="G20" s="8" t="s">
        <v>101</v>
      </c>
    </row>
    <row r="21" spans="1:7" ht="16" customHeight="1" x14ac:dyDescent="0.2">
      <c r="B21" s="6" t="s">
        <v>102</v>
      </c>
      <c r="C21" s="6" t="s">
        <v>103</v>
      </c>
      <c r="D21" s="6" t="s">
        <v>148</v>
      </c>
      <c r="E21" s="22">
        <v>0.4</v>
      </c>
      <c r="F21" s="22">
        <v>0</v>
      </c>
      <c r="G21" s="8" t="s">
        <v>14</v>
      </c>
    </row>
    <row r="22" spans="1:7" ht="16" customHeight="1" x14ac:dyDescent="0.2">
      <c r="B22" s="6" t="s">
        <v>104</v>
      </c>
      <c r="C22" s="6" t="s">
        <v>105</v>
      </c>
      <c r="D22" s="6" t="s">
        <v>149</v>
      </c>
      <c r="E22" s="22">
        <v>3</v>
      </c>
      <c r="F22" s="22">
        <v>0</v>
      </c>
      <c r="G22" s="8" t="s">
        <v>14</v>
      </c>
    </row>
    <row r="23" spans="1:7" ht="16" customHeight="1" x14ac:dyDescent="0.2">
      <c r="B23" s="6" t="s">
        <v>188</v>
      </c>
      <c r="C23" s="6" t="s">
        <v>191</v>
      </c>
      <c r="D23" s="6" t="s">
        <v>190</v>
      </c>
      <c r="E23" s="22">
        <v>0.05</v>
      </c>
      <c r="F23" s="22">
        <v>0</v>
      </c>
      <c r="G23" s="8" t="s">
        <v>6</v>
      </c>
    </row>
    <row r="24" spans="1:7" ht="16" customHeight="1" x14ac:dyDescent="0.2">
      <c r="B24" s="6" t="s">
        <v>189</v>
      </c>
      <c r="C24" s="6" t="s">
        <v>192</v>
      </c>
      <c r="D24" s="6" t="s">
        <v>193</v>
      </c>
      <c r="E24" s="22">
        <v>0.2</v>
      </c>
      <c r="F24" s="22">
        <v>0</v>
      </c>
      <c r="G24" s="8" t="s">
        <v>6</v>
      </c>
    </row>
    <row r="25" spans="1:7" ht="16" customHeight="1" x14ac:dyDescent="0.2">
      <c r="B25" s="6" t="s">
        <v>143</v>
      </c>
      <c r="C25" s="6" t="s">
        <v>140</v>
      </c>
      <c r="D25" s="6" t="s">
        <v>150</v>
      </c>
      <c r="E25" s="22">
        <v>298.14999999999998</v>
      </c>
      <c r="F25" s="22">
        <v>0</v>
      </c>
      <c r="G25" s="8" t="s">
        <v>141</v>
      </c>
    </row>
    <row r="26" spans="1:7" ht="20" customHeight="1" thickBot="1" x14ac:dyDescent="0.25">
      <c r="A26" t="s">
        <v>90</v>
      </c>
      <c r="G26" s="20"/>
    </row>
    <row r="27" spans="1:7" ht="32" customHeight="1" thickBot="1" x14ac:dyDescent="0.35">
      <c r="B27" s="40" t="s">
        <v>9</v>
      </c>
      <c r="C27" s="41"/>
      <c r="D27" s="41"/>
      <c r="E27" s="41"/>
      <c r="F27" s="41"/>
      <c r="G27" s="42"/>
    </row>
    <row r="28" spans="1:7" ht="20" customHeight="1" x14ac:dyDescent="0.2">
      <c r="A28" s="32" t="s">
        <v>77</v>
      </c>
      <c r="B28" s="11" t="s">
        <v>1</v>
      </c>
      <c r="C28" s="11" t="s">
        <v>0</v>
      </c>
      <c r="D28" s="11" t="s">
        <v>86</v>
      </c>
      <c r="E28" s="11" t="s">
        <v>2</v>
      </c>
      <c r="F28" s="2" t="s">
        <v>56</v>
      </c>
      <c r="G28" s="3" t="s">
        <v>3</v>
      </c>
    </row>
    <row r="29" spans="1:7" ht="16" customHeight="1" x14ac:dyDescent="0.2">
      <c r="B29" s="6" t="s">
        <v>107</v>
      </c>
      <c r="C29" s="6" t="s">
        <v>20</v>
      </c>
      <c r="D29" s="6" t="s">
        <v>151</v>
      </c>
      <c r="E29" s="33">
        <v>3.4999999999999998E-7</v>
      </c>
      <c r="F29" s="22">
        <v>0</v>
      </c>
      <c r="G29" s="8" t="s">
        <v>116</v>
      </c>
    </row>
    <row r="30" spans="1:7" ht="16" customHeight="1" x14ac:dyDescent="0.2">
      <c r="B30" s="6" t="s">
        <v>142</v>
      </c>
      <c r="C30" s="6" t="s">
        <v>152</v>
      </c>
      <c r="D30" s="6" t="s">
        <v>153</v>
      </c>
      <c r="E30" s="33">
        <v>76900</v>
      </c>
      <c r="F30" s="22">
        <v>0</v>
      </c>
      <c r="G30" s="8" t="s">
        <v>96</v>
      </c>
    </row>
    <row r="31" spans="1:7" ht="16" customHeight="1" x14ac:dyDescent="0.2">
      <c r="B31" s="6" t="s">
        <v>108</v>
      </c>
      <c r="C31" s="6" t="s">
        <v>21</v>
      </c>
      <c r="D31" s="6" t="s">
        <v>154</v>
      </c>
      <c r="E31" s="9">
        <v>0.5</v>
      </c>
      <c r="F31" s="22">
        <v>0</v>
      </c>
      <c r="G31" s="8" t="s">
        <v>14</v>
      </c>
    </row>
    <row r="32" spans="1:7" ht="16" customHeight="1" x14ac:dyDescent="0.2">
      <c r="B32" s="6" t="s">
        <v>109</v>
      </c>
      <c r="C32" s="6" t="s">
        <v>110</v>
      </c>
      <c r="D32" s="6" t="s">
        <v>155</v>
      </c>
      <c r="E32" s="22">
        <v>1</v>
      </c>
      <c r="F32" s="22">
        <v>0</v>
      </c>
      <c r="G32" s="8" t="s">
        <v>117</v>
      </c>
    </row>
    <row r="33" spans="1:7" ht="16" customHeight="1" x14ac:dyDescent="0.2">
      <c r="B33" s="6" t="s">
        <v>111</v>
      </c>
      <c r="C33" s="6" t="s">
        <v>23</v>
      </c>
      <c r="D33" s="6" t="s">
        <v>156</v>
      </c>
      <c r="E33" s="9">
        <v>2.0000000000000001E-4</v>
      </c>
      <c r="F33" s="22">
        <v>0</v>
      </c>
      <c r="G33" s="34" t="s">
        <v>118</v>
      </c>
    </row>
    <row r="34" spans="1:7" ht="16" customHeight="1" x14ac:dyDescent="0.2">
      <c r="B34" s="6" t="s">
        <v>11</v>
      </c>
      <c r="C34" s="6" t="s">
        <v>65</v>
      </c>
      <c r="D34" s="6" t="s">
        <v>157</v>
      </c>
      <c r="E34" s="22">
        <v>0.19800000000000001</v>
      </c>
      <c r="F34" s="22">
        <v>0</v>
      </c>
      <c r="G34" s="8" t="s">
        <v>119</v>
      </c>
    </row>
    <row r="35" spans="1:7" ht="16" customHeight="1" x14ac:dyDescent="0.2">
      <c r="B35" s="6" t="s">
        <v>13</v>
      </c>
      <c r="C35" s="6" t="s">
        <v>67</v>
      </c>
      <c r="D35" s="6" t="s">
        <v>158</v>
      </c>
      <c r="E35" s="22">
        <v>1</v>
      </c>
      <c r="F35" s="22">
        <v>0</v>
      </c>
      <c r="G35" s="8" t="s">
        <v>14</v>
      </c>
    </row>
    <row r="36" spans="1:7" ht="16" customHeight="1" x14ac:dyDescent="0.2">
      <c r="B36" s="6" t="s">
        <v>196</v>
      </c>
      <c r="C36" s="6" t="s">
        <v>194</v>
      </c>
      <c r="D36" s="6" t="s">
        <v>195</v>
      </c>
      <c r="E36" s="33">
        <v>1000</v>
      </c>
      <c r="F36" s="22">
        <v>0</v>
      </c>
      <c r="G36" s="8" t="s">
        <v>177</v>
      </c>
    </row>
    <row r="37" spans="1:7" ht="16" customHeight="1" x14ac:dyDescent="0.2">
      <c r="B37" s="6" t="s">
        <v>12</v>
      </c>
      <c r="C37" s="6" t="s">
        <v>64</v>
      </c>
      <c r="D37" s="6" t="s">
        <v>159</v>
      </c>
      <c r="E37" s="33">
        <v>9.9999999999999995E-7</v>
      </c>
      <c r="F37" s="22">
        <v>0</v>
      </c>
      <c r="G37" s="34" t="s">
        <v>118</v>
      </c>
    </row>
    <row r="38" spans="1:7" ht="20" customHeight="1" thickBot="1" x14ac:dyDescent="0.25">
      <c r="A38" t="s">
        <v>90</v>
      </c>
      <c r="G38" s="20"/>
    </row>
    <row r="39" spans="1:7" ht="32" customHeight="1" thickBot="1" x14ac:dyDescent="0.35">
      <c r="B39" s="49" t="s">
        <v>75</v>
      </c>
      <c r="C39" s="50"/>
      <c r="D39" s="50"/>
      <c r="E39" s="50"/>
      <c r="F39" s="50"/>
      <c r="G39" s="51"/>
    </row>
    <row r="40" spans="1:7" ht="20" customHeight="1" x14ac:dyDescent="0.2">
      <c r="A40" t="s">
        <v>81</v>
      </c>
      <c r="B40" s="24" t="s">
        <v>1</v>
      </c>
      <c r="C40" s="25" t="s">
        <v>0</v>
      </c>
      <c r="D40" s="25" t="s">
        <v>86</v>
      </c>
      <c r="E40" s="25" t="s">
        <v>2</v>
      </c>
      <c r="F40" s="26" t="s">
        <v>76</v>
      </c>
      <c r="G40" s="27" t="s">
        <v>3</v>
      </c>
    </row>
    <row r="41" spans="1:7" ht="16" customHeight="1" x14ac:dyDescent="0.2">
      <c r="B41" s="28" t="s">
        <v>120</v>
      </c>
      <c r="C41" s="29" t="s">
        <v>121</v>
      </c>
      <c r="D41" s="29" t="s">
        <v>121</v>
      </c>
      <c r="E41" s="35">
        <v>5.0000000000000004E-6</v>
      </c>
      <c r="F41" s="30">
        <v>0</v>
      </c>
      <c r="G41" s="31" t="s">
        <v>124</v>
      </c>
    </row>
    <row r="42" spans="1:7" ht="16" customHeight="1" x14ac:dyDescent="0.2">
      <c r="B42" s="28" t="s">
        <v>122</v>
      </c>
      <c r="C42" s="29" t="s">
        <v>123</v>
      </c>
      <c r="D42" s="29" t="s">
        <v>162</v>
      </c>
      <c r="E42" s="30">
        <v>0.21</v>
      </c>
      <c r="F42" s="30">
        <v>0</v>
      </c>
      <c r="G42" s="31" t="s">
        <v>14</v>
      </c>
    </row>
    <row r="43" spans="1:7" ht="16" customHeight="1" x14ac:dyDescent="0.2">
      <c r="B43" s="28" t="s">
        <v>114</v>
      </c>
      <c r="C43" s="29" t="s">
        <v>115</v>
      </c>
      <c r="D43" s="6" t="s">
        <v>161</v>
      </c>
      <c r="E43" s="30">
        <v>1.5</v>
      </c>
      <c r="F43" s="30">
        <v>0</v>
      </c>
      <c r="G43" s="31" t="s">
        <v>14</v>
      </c>
    </row>
    <row r="44" spans="1:7" ht="20" customHeight="1" thickBot="1" x14ac:dyDescent="0.25">
      <c r="A44" t="s">
        <v>90</v>
      </c>
      <c r="G44" s="20"/>
    </row>
    <row r="45" spans="1:7" ht="32" customHeight="1" thickBot="1" x14ac:dyDescent="0.35">
      <c r="B45" s="40" t="s">
        <v>74</v>
      </c>
      <c r="C45" s="41"/>
      <c r="D45" s="41"/>
      <c r="E45" s="41"/>
      <c r="F45" s="41"/>
      <c r="G45" s="42"/>
    </row>
    <row r="46" spans="1:7" ht="20" customHeight="1" x14ac:dyDescent="0.2">
      <c r="A46" s="32" t="s">
        <v>80</v>
      </c>
      <c r="B46" s="11" t="s">
        <v>1</v>
      </c>
      <c r="C46" s="11" t="s">
        <v>0</v>
      </c>
      <c r="D46" s="11" t="s">
        <v>86</v>
      </c>
      <c r="E46" s="11" t="s">
        <v>2</v>
      </c>
      <c r="F46" s="2" t="s">
        <v>56</v>
      </c>
      <c r="G46" s="3" t="s">
        <v>3</v>
      </c>
    </row>
    <row r="47" spans="1:7" ht="16" customHeight="1" x14ac:dyDescent="0.2">
      <c r="B47" s="6" t="s">
        <v>125</v>
      </c>
      <c r="C47" s="6" t="s">
        <v>121</v>
      </c>
      <c r="D47" s="29" t="s">
        <v>121</v>
      </c>
      <c r="E47" s="36">
        <v>2.5000000000000001E-5</v>
      </c>
      <c r="F47" s="22">
        <v>0</v>
      </c>
      <c r="G47" s="8" t="s">
        <v>124</v>
      </c>
    </row>
    <row r="48" spans="1:7" ht="16" customHeight="1" x14ac:dyDescent="0.2">
      <c r="B48" s="6" t="s">
        <v>122</v>
      </c>
      <c r="C48" s="6" t="s">
        <v>123</v>
      </c>
      <c r="D48" s="29" t="s">
        <v>162</v>
      </c>
      <c r="E48" s="22">
        <v>0.41</v>
      </c>
      <c r="F48" s="22">
        <v>0</v>
      </c>
      <c r="G48" s="8" t="s">
        <v>14</v>
      </c>
    </row>
    <row r="49" spans="1:7" ht="16" customHeight="1" x14ac:dyDescent="0.2">
      <c r="B49" s="6" t="s">
        <v>114</v>
      </c>
      <c r="C49" s="6" t="s">
        <v>115</v>
      </c>
      <c r="D49" s="6" t="s">
        <v>161</v>
      </c>
      <c r="E49" s="22">
        <v>1.5</v>
      </c>
      <c r="F49" s="22">
        <v>0</v>
      </c>
      <c r="G49" s="8" t="s">
        <v>14</v>
      </c>
    </row>
    <row r="50" spans="1:7" ht="20" customHeight="1" thickBot="1" x14ac:dyDescent="0.25">
      <c r="A50" t="s">
        <v>90</v>
      </c>
    </row>
    <row r="51" spans="1:7" ht="32" customHeight="1" thickBot="1" x14ac:dyDescent="0.35">
      <c r="B51" s="40" t="s">
        <v>10</v>
      </c>
      <c r="C51" s="41"/>
      <c r="D51" s="41"/>
      <c r="E51" s="41"/>
      <c r="F51" s="41"/>
      <c r="G51" s="42"/>
    </row>
    <row r="52" spans="1:7" ht="20" customHeight="1" x14ac:dyDescent="0.2">
      <c r="A52" s="32" t="s">
        <v>79</v>
      </c>
      <c r="B52" s="11" t="s">
        <v>1</v>
      </c>
      <c r="C52" s="11" t="s">
        <v>0</v>
      </c>
      <c r="D52" s="11" t="s">
        <v>86</v>
      </c>
      <c r="E52" s="11" t="s">
        <v>2</v>
      </c>
      <c r="F52" s="2" t="s">
        <v>56</v>
      </c>
      <c r="G52" s="3" t="s">
        <v>3</v>
      </c>
    </row>
    <row r="53" spans="1:7" ht="16" customHeight="1" x14ac:dyDescent="0.2">
      <c r="B53" s="6" t="s">
        <v>68</v>
      </c>
      <c r="C53" s="6" t="s">
        <v>69</v>
      </c>
      <c r="D53" s="6" t="s">
        <v>163</v>
      </c>
      <c r="E53" s="21" t="s">
        <v>197</v>
      </c>
      <c r="F53" s="9">
        <v>0</v>
      </c>
      <c r="G53" s="7" t="s">
        <v>6</v>
      </c>
    </row>
    <row r="54" spans="1:7" ht="16" customHeight="1" x14ac:dyDescent="0.2">
      <c r="B54" s="6" t="s">
        <v>70</v>
      </c>
      <c r="C54" s="6" t="s">
        <v>71</v>
      </c>
      <c r="D54" s="6" t="s">
        <v>164</v>
      </c>
      <c r="E54" s="21" t="s">
        <v>198</v>
      </c>
      <c r="F54" s="9">
        <v>0</v>
      </c>
      <c r="G54" s="7" t="s">
        <v>14</v>
      </c>
    </row>
    <row r="55" spans="1:7" ht="16" customHeight="1" x14ac:dyDescent="0.2">
      <c r="B55" s="6" t="s">
        <v>72</v>
      </c>
      <c r="C55" s="6" t="s">
        <v>73</v>
      </c>
      <c r="D55" s="6" t="s">
        <v>165</v>
      </c>
      <c r="E55" s="21" t="s">
        <v>199</v>
      </c>
      <c r="F55" s="9">
        <v>0</v>
      </c>
      <c r="G55" s="7" t="s">
        <v>14</v>
      </c>
    </row>
    <row r="56" spans="1:7" ht="16" customHeight="1" x14ac:dyDescent="0.2">
      <c r="B56" s="6" t="s">
        <v>126</v>
      </c>
      <c r="C56" s="6" t="s">
        <v>121</v>
      </c>
      <c r="D56" s="6" t="s">
        <v>121</v>
      </c>
      <c r="E56" s="36">
        <v>5.0000000000000002E-5</v>
      </c>
      <c r="F56" s="22">
        <v>0</v>
      </c>
      <c r="G56" s="7" t="s">
        <v>124</v>
      </c>
    </row>
    <row r="57" spans="1:7" ht="16" customHeight="1" x14ac:dyDescent="0.2">
      <c r="B57" s="6" t="s">
        <v>127</v>
      </c>
      <c r="C57" s="6" t="s">
        <v>128</v>
      </c>
      <c r="D57" s="6" t="s">
        <v>166</v>
      </c>
      <c r="E57" s="36">
        <v>6.2999999999999998E-6</v>
      </c>
      <c r="F57" s="22">
        <v>0</v>
      </c>
      <c r="G57" s="7" t="s">
        <v>124</v>
      </c>
    </row>
    <row r="58" spans="1:7" ht="16" customHeight="1" x14ac:dyDescent="0.2">
      <c r="B58" s="6" t="s">
        <v>129</v>
      </c>
      <c r="C58" s="6" t="s">
        <v>130</v>
      </c>
      <c r="D58" s="6" t="s">
        <v>167</v>
      </c>
      <c r="E58" s="22">
        <v>0.49249999999999999</v>
      </c>
      <c r="F58" s="22">
        <v>0</v>
      </c>
      <c r="G58" s="8" t="s">
        <v>14</v>
      </c>
    </row>
    <row r="59" spans="1:7" ht="16" customHeight="1" x14ac:dyDescent="0.2">
      <c r="B59" s="6" t="s">
        <v>122</v>
      </c>
      <c r="C59" s="6" t="s">
        <v>123</v>
      </c>
      <c r="D59" s="6" t="s">
        <v>162</v>
      </c>
      <c r="E59" s="22">
        <v>0.29199999999999998</v>
      </c>
      <c r="F59" s="22">
        <v>0</v>
      </c>
      <c r="G59" s="8" t="s">
        <v>14</v>
      </c>
    </row>
    <row r="60" spans="1:7" ht="16" customHeight="1" x14ac:dyDescent="0.2">
      <c r="B60" s="6" t="s">
        <v>131</v>
      </c>
      <c r="C60" s="6" t="s">
        <v>132</v>
      </c>
      <c r="D60" s="6" t="s">
        <v>168</v>
      </c>
      <c r="E60" s="22">
        <v>31390</v>
      </c>
      <c r="F60" s="22">
        <v>0</v>
      </c>
      <c r="G60" s="8" t="s">
        <v>96</v>
      </c>
    </row>
    <row r="61" spans="1:7" ht="16" customHeight="1" x14ac:dyDescent="0.2">
      <c r="B61" s="6" t="s">
        <v>133</v>
      </c>
      <c r="C61" s="6" t="s">
        <v>16</v>
      </c>
      <c r="D61" s="6" t="s">
        <v>169</v>
      </c>
      <c r="E61" s="9">
        <v>0.88400000000000001</v>
      </c>
      <c r="F61" s="22">
        <v>0</v>
      </c>
      <c r="G61" s="7" t="s">
        <v>14</v>
      </c>
    </row>
    <row r="62" spans="1:7" ht="16" customHeight="1" x14ac:dyDescent="0.2">
      <c r="B62" s="6" t="s">
        <v>134</v>
      </c>
      <c r="C62" s="6" t="s">
        <v>17</v>
      </c>
      <c r="D62" s="6" t="s">
        <v>170</v>
      </c>
      <c r="E62" s="9">
        <v>1.4E-2</v>
      </c>
      <c r="F62" s="22">
        <v>0</v>
      </c>
      <c r="G62" s="7" t="s">
        <v>14</v>
      </c>
    </row>
    <row r="63" spans="1:7" ht="16" customHeight="1" x14ac:dyDescent="0.2">
      <c r="B63" s="6" t="s">
        <v>135</v>
      </c>
      <c r="C63" s="6" t="s">
        <v>18</v>
      </c>
      <c r="D63" s="6" t="s">
        <v>171</v>
      </c>
      <c r="E63" s="9">
        <v>1000</v>
      </c>
      <c r="F63" s="22">
        <v>0</v>
      </c>
      <c r="G63" s="8" t="s">
        <v>98</v>
      </c>
    </row>
    <row r="64" spans="1:7" ht="16" customHeight="1" x14ac:dyDescent="0.2">
      <c r="B64" s="6" t="s">
        <v>136</v>
      </c>
      <c r="C64" s="6" t="s">
        <v>22</v>
      </c>
      <c r="D64" s="6" t="s">
        <v>172</v>
      </c>
      <c r="E64" s="52">
        <f>0.00000000026463/100/100</f>
        <v>2.6463000000000001E-14</v>
      </c>
      <c r="F64" s="22">
        <v>0</v>
      </c>
      <c r="G64" s="8" t="s">
        <v>101</v>
      </c>
    </row>
    <row r="65" spans="1:7" ht="16" customHeight="1" x14ac:dyDescent="0.2">
      <c r="B65" s="6" t="s">
        <v>15</v>
      </c>
      <c r="C65" s="6" t="s">
        <v>66</v>
      </c>
      <c r="D65" s="6" t="s">
        <v>173</v>
      </c>
      <c r="E65" s="22">
        <v>1</v>
      </c>
      <c r="F65" s="22">
        <v>0</v>
      </c>
      <c r="G65" s="8" t="s">
        <v>14</v>
      </c>
    </row>
    <row r="66" spans="1:7" ht="16" customHeight="1" x14ac:dyDescent="0.2">
      <c r="B66" s="6" t="s">
        <v>174</v>
      </c>
      <c r="C66" s="6" t="s">
        <v>175</v>
      </c>
      <c r="D66" s="6" t="s">
        <v>176</v>
      </c>
      <c r="E66" s="22">
        <v>10</v>
      </c>
      <c r="F66" s="22">
        <v>0</v>
      </c>
      <c r="G66" s="8" t="s">
        <v>177</v>
      </c>
    </row>
    <row r="67" spans="1:7" ht="16" customHeight="1" x14ac:dyDescent="0.2">
      <c r="B67" s="6" t="s">
        <v>137</v>
      </c>
      <c r="C67" s="6" t="s">
        <v>20</v>
      </c>
      <c r="D67" s="6" t="s">
        <v>151</v>
      </c>
      <c r="E67" s="37" t="s">
        <v>202</v>
      </c>
      <c r="F67" s="38">
        <v>0</v>
      </c>
      <c r="G67" s="8" t="s">
        <v>139</v>
      </c>
    </row>
    <row r="68" spans="1:7" ht="16" customHeight="1" x14ac:dyDescent="0.2">
      <c r="B68" s="6" t="s">
        <v>138</v>
      </c>
      <c r="C68" s="6" t="s">
        <v>21</v>
      </c>
      <c r="D68" s="6" t="s">
        <v>154</v>
      </c>
      <c r="E68" s="37" t="s">
        <v>200</v>
      </c>
      <c r="F68" s="38">
        <v>0</v>
      </c>
      <c r="G68" s="8" t="s">
        <v>14</v>
      </c>
    </row>
    <row r="69" spans="1:7" ht="16" customHeight="1" x14ac:dyDescent="0.2">
      <c r="B69" s="6" t="s">
        <v>111</v>
      </c>
      <c r="C69" s="6" t="s">
        <v>23</v>
      </c>
      <c r="D69" s="6" t="s">
        <v>156</v>
      </c>
      <c r="E69" s="33">
        <v>9.7130000000000003E-4</v>
      </c>
      <c r="F69" s="22">
        <v>0</v>
      </c>
      <c r="G69" s="8" t="s">
        <v>118</v>
      </c>
    </row>
    <row r="70" spans="1:7" ht="16" customHeight="1" x14ac:dyDescent="0.2">
      <c r="B70" s="6" t="s">
        <v>11</v>
      </c>
      <c r="C70" s="6" t="s">
        <v>65</v>
      </c>
      <c r="D70" s="6" t="s">
        <v>157</v>
      </c>
      <c r="E70" s="22">
        <v>1.47</v>
      </c>
      <c r="F70" s="22">
        <v>0</v>
      </c>
      <c r="G70" s="8" t="s">
        <v>119</v>
      </c>
    </row>
    <row r="71" spans="1:7" ht="16" customHeight="1" x14ac:dyDescent="0.2">
      <c r="B71" s="6" t="s">
        <v>13</v>
      </c>
      <c r="C71" s="6" t="s">
        <v>67</v>
      </c>
      <c r="D71" s="6" t="s">
        <v>158</v>
      </c>
      <c r="E71" s="22">
        <v>1</v>
      </c>
      <c r="F71" s="22">
        <v>0</v>
      </c>
      <c r="G71" s="8" t="s">
        <v>14</v>
      </c>
    </row>
    <row r="72" spans="1:7" ht="16" customHeight="1" x14ac:dyDescent="0.2">
      <c r="B72" s="6" t="s">
        <v>196</v>
      </c>
      <c r="C72" s="6" t="s">
        <v>194</v>
      </c>
      <c r="D72" s="6" t="s">
        <v>195</v>
      </c>
      <c r="E72" s="33">
        <v>1000</v>
      </c>
      <c r="F72" s="22">
        <v>0</v>
      </c>
      <c r="G72" s="8" t="s">
        <v>177</v>
      </c>
    </row>
    <row r="73" spans="1:7" ht="16" customHeight="1" x14ac:dyDescent="0.2">
      <c r="B73" s="6" t="s">
        <v>12</v>
      </c>
      <c r="C73" s="6" t="s">
        <v>64</v>
      </c>
      <c r="D73" s="6" t="s">
        <v>159</v>
      </c>
      <c r="E73" s="33">
        <v>1.9426E-4</v>
      </c>
      <c r="F73" s="22">
        <v>0</v>
      </c>
      <c r="G73" s="8" t="s">
        <v>118</v>
      </c>
    </row>
    <row r="74" spans="1:7" ht="16" customHeight="1" x14ac:dyDescent="0.2">
      <c r="B74" s="6" t="s">
        <v>112</v>
      </c>
      <c r="C74" s="6" t="s">
        <v>113</v>
      </c>
      <c r="D74" s="6" t="s">
        <v>160</v>
      </c>
      <c r="E74" s="22">
        <v>1.5</v>
      </c>
      <c r="F74" s="22">
        <v>0</v>
      </c>
      <c r="G74" s="8" t="s">
        <v>14</v>
      </c>
    </row>
    <row r="75" spans="1:7" ht="16" customHeight="1" x14ac:dyDescent="0.2">
      <c r="B75" s="6" t="s">
        <v>114</v>
      </c>
      <c r="C75" s="6" t="s">
        <v>115</v>
      </c>
      <c r="D75" s="6" t="s">
        <v>161</v>
      </c>
      <c r="E75" s="22">
        <v>1.5</v>
      </c>
      <c r="F75" s="22">
        <v>0</v>
      </c>
      <c r="G75" s="8" t="s">
        <v>14</v>
      </c>
    </row>
    <row r="76" spans="1:7" ht="16" customHeight="1" x14ac:dyDescent="0.2">
      <c r="A76" t="s">
        <v>90</v>
      </c>
    </row>
    <row r="77" spans="1:7" ht="16" customHeight="1" x14ac:dyDescent="0.2"/>
    <row r="78" spans="1:7" ht="16" customHeight="1" x14ac:dyDescent="0.2"/>
    <row r="79" spans="1:7" ht="16" customHeight="1" x14ac:dyDescent="0.2"/>
  </sheetData>
  <mergeCells count="8">
    <mergeCell ref="B51:G51"/>
    <mergeCell ref="B2:G3"/>
    <mergeCell ref="B5:G5"/>
    <mergeCell ref="B15:G15"/>
    <mergeCell ref="B27:G27"/>
    <mergeCell ref="B45:G45"/>
    <mergeCell ref="B39:G39"/>
    <mergeCell ref="B10:G10"/>
  </mergeCells>
  <pageMargins left="0.7" right="0.7" top="0.75" bottom="0.75" header="0.3" footer="0.3"/>
  <pageSetup scale="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48"/>
  <sheetViews>
    <sheetView topLeftCell="A25" workbookViewId="0"/>
  </sheetViews>
  <sheetFormatPr baseColWidth="10" defaultColWidth="10.83203125" defaultRowHeight="19" x14ac:dyDescent="0.25"/>
  <cols>
    <col min="1" max="1" width="3" style="13" customWidth="1"/>
    <col min="2" max="2" width="6.1640625" style="13" customWidth="1"/>
    <col min="3" max="3" width="14.83203125" style="14" customWidth="1"/>
    <col min="4" max="4" width="9.5" style="13" customWidth="1"/>
    <col min="5" max="16384" width="10.83203125" style="13"/>
  </cols>
  <sheetData>
    <row r="5" spans="1:1" x14ac:dyDescent="0.25">
      <c r="A5" s="12" t="s">
        <v>24</v>
      </c>
    </row>
    <row r="7" spans="1:1" x14ac:dyDescent="0.25">
      <c r="A7" s="13" t="s">
        <v>25</v>
      </c>
    </row>
    <row r="9" spans="1:1" x14ac:dyDescent="0.25">
      <c r="A9" s="13" t="s">
        <v>26</v>
      </c>
    </row>
    <row r="10" spans="1:1" x14ac:dyDescent="0.25">
      <c r="A10" s="13" t="s">
        <v>27</v>
      </c>
    </row>
    <row r="11" spans="1:1" x14ac:dyDescent="0.25">
      <c r="A11" s="13" t="s">
        <v>28</v>
      </c>
    </row>
    <row r="12" spans="1:1" x14ac:dyDescent="0.25">
      <c r="A12" s="13" t="s">
        <v>29</v>
      </c>
    </row>
    <row r="14" spans="1:1" x14ac:dyDescent="0.25">
      <c r="A14" s="13" t="s">
        <v>30</v>
      </c>
    </row>
    <row r="15" spans="1:1" x14ac:dyDescent="0.25">
      <c r="A15" s="13" t="s">
        <v>31</v>
      </c>
    </row>
    <row r="16" spans="1:1" x14ac:dyDescent="0.25">
      <c r="A16" s="13" t="s">
        <v>32</v>
      </c>
    </row>
    <row r="17" spans="1:2" x14ac:dyDescent="0.25">
      <c r="A17" s="13" t="s">
        <v>33</v>
      </c>
    </row>
    <row r="19" spans="1:2" x14ac:dyDescent="0.25">
      <c r="A19" s="13" t="s">
        <v>57</v>
      </c>
    </row>
    <row r="20" spans="1:2" x14ac:dyDescent="0.25">
      <c r="A20" s="13" t="s">
        <v>34</v>
      </c>
    </row>
    <row r="21" spans="1:2" x14ac:dyDescent="0.25">
      <c r="A21" s="13" t="s">
        <v>35</v>
      </c>
    </row>
    <row r="22" spans="1:2" x14ac:dyDescent="0.25">
      <c r="A22" s="13" t="s">
        <v>36</v>
      </c>
    </row>
    <row r="23" spans="1:2" x14ac:dyDescent="0.25">
      <c r="A23" s="13" t="s">
        <v>58</v>
      </c>
    </row>
    <row r="24" spans="1:2" x14ac:dyDescent="0.25">
      <c r="A24" s="13" t="s">
        <v>59</v>
      </c>
    </row>
    <row r="25" spans="1:2" x14ac:dyDescent="0.25">
      <c r="A25" s="13" t="s">
        <v>60</v>
      </c>
    </row>
    <row r="26" spans="1:2" x14ac:dyDescent="0.25">
      <c r="A26" s="13" t="s">
        <v>61</v>
      </c>
    </row>
    <row r="28" spans="1:2" x14ac:dyDescent="0.25">
      <c r="A28" s="13" t="s">
        <v>37</v>
      </c>
    </row>
    <row r="29" spans="1:2" x14ac:dyDescent="0.25">
      <c r="A29" s="13" t="s">
        <v>38</v>
      </c>
      <c r="B29" s="13" t="s">
        <v>39</v>
      </c>
    </row>
    <row r="30" spans="1:2" x14ac:dyDescent="0.25">
      <c r="A30" s="13" t="s">
        <v>40</v>
      </c>
      <c r="B30" s="13" t="s">
        <v>41</v>
      </c>
    </row>
    <row r="31" spans="1:2" x14ac:dyDescent="0.25">
      <c r="B31" s="13" t="s">
        <v>42</v>
      </c>
    </row>
    <row r="32" spans="1:2" x14ac:dyDescent="0.25">
      <c r="B32" s="13" t="s">
        <v>43</v>
      </c>
    </row>
    <row r="33" spans="1:4" x14ac:dyDescent="0.25">
      <c r="B33" s="13" t="s">
        <v>44</v>
      </c>
    </row>
    <row r="34" spans="1:4" x14ac:dyDescent="0.25">
      <c r="B34" s="13" t="s">
        <v>45</v>
      </c>
    </row>
    <row r="35" spans="1:4" x14ac:dyDescent="0.25">
      <c r="B35" s="13" t="s">
        <v>46</v>
      </c>
    </row>
    <row r="36" spans="1:4" x14ac:dyDescent="0.25">
      <c r="A36" s="18" t="s">
        <v>51</v>
      </c>
      <c r="B36" s="13" t="s">
        <v>47</v>
      </c>
    </row>
    <row r="37" spans="1:4" x14ac:dyDescent="0.25">
      <c r="B37" s="13" t="s">
        <v>48</v>
      </c>
    </row>
    <row r="38" spans="1:4" x14ac:dyDescent="0.25">
      <c r="B38" s="13" t="s">
        <v>52</v>
      </c>
    </row>
    <row r="39" spans="1:4" x14ac:dyDescent="0.25">
      <c r="B39" s="13" t="s">
        <v>62</v>
      </c>
    </row>
    <row r="41" spans="1:4" x14ac:dyDescent="0.25">
      <c r="B41" s="13" t="s">
        <v>53</v>
      </c>
    </row>
    <row r="42" spans="1:4" x14ac:dyDescent="0.25">
      <c r="B42" s="13" t="s">
        <v>54</v>
      </c>
    </row>
    <row r="43" spans="1:4" x14ac:dyDescent="0.25">
      <c r="B43" s="13" t="s">
        <v>55</v>
      </c>
      <c r="C43" s="13"/>
    </row>
    <row r="44" spans="1:4" ht="20" thickBot="1" x14ac:dyDescent="0.3">
      <c r="C44" s="15" t="s">
        <v>49</v>
      </c>
      <c r="D44" s="16" t="s">
        <v>50</v>
      </c>
    </row>
    <row r="45" spans="1:4" x14ac:dyDescent="0.25">
      <c r="C45" s="14">
        <v>0</v>
      </c>
      <c r="D45" s="17">
        <v>11.16</v>
      </c>
    </row>
    <row r="46" spans="1:4" x14ac:dyDescent="0.25">
      <c r="C46" s="14">
        <v>0.1</v>
      </c>
      <c r="D46" s="17">
        <v>0.81789999999999996</v>
      </c>
    </row>
    <row r="47" spans="1:4" x14ac:dyDescent="0.25">
      <c r="C47" s="14">
        <v>0.2</v>
      </c>
      <c r="D47" s="17">
        <v>0.56440000000000001</v>
      </c>
    </row>
    <row r="48" spans="1:4" x14ac:dyDescent="0.25">
      <c r="C48" s="14">
        <v>0.3</v>
      </c>
      <c r="D48" s="17">
        <v>0.37669999999999998</v>
      </c>
    </row>
  </sheetData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Instructions</vt:lpstr>
    </vt:vector>
  </TitlesOfParts>
  <Company>UCCS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Aldrich</dc:creator>
  <cp:lastModifiedBy>Wesley Hileman</cp:lastModifiedBy>
  <cp:lastPrinted>2018-12-27T23:30:47Z</cp:lastPrinted>
  <dcterms:created xsi:type="dcterms:W3CDTF">2012-09-28T19:44:32Z</dcterms:created>
  <dcterms:modified xsi:type="dcterms:W3CDTF">2026-03-08T20:59:32Z</dcterms:modified>
</cp:coreProperties>
</file>